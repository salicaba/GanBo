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c77f3f2f755b80/Documentos/Contabilidad y Finanzas/"/>
    </mc:Choice>
  </mc:AlternateContent>
  <xr:revisionPtr revIDLastSave="2" documentId="8_{A7B1D574-B9C6-4464-95D1-494EEFDFC344}" xr6:coauthVersionLast="47" xr6:coauthVersionMax="47" xr10:uidLastSave="{7DA6E6E4-E7FC-4F84-8348-E7E998F3D34F}"/>
  <bookViews>
    <workbookView xWindow="-108" yWindow="-108" windowWidth="23256" windowHeight="13896" xr2:uid="{177D8792-C9BA-4641-9504-E0B6C67A3FFD}"/>
  </bookViews>
  <sheets>
    <sheet name="Catálogo de Cuentas" sheetId="7" r:id="rId1"/>
    <sheet name="BGI" sheetId="2" r:id="rId2"/>
    <sheet name="BGCE" sheetId="3" r:id="rId3"/>
    <sheet name="BGCC" sheetId="4" r:id="rId4"/>
    <sheet name="BGEC" sheetId="5" r:id="rId5"/>
    <sheet name="BGA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5" l="1"/>
  <c r="G10" i="4"/>
  <c r="G13" i="6"/>
  <c r="K22" i="6"/>
  <c r="K9" i="6"/>
  <c r="K22" i="5"/>
  <c r="K9" i="5"/>
  <c r="K22" i="4"/>
  <c r="K9" i="4"/>
  <c r="K21" i="3"/>
  <c r="K9" i="3"/>
  <c r="G8" i="6"/>
  <c r="C20" i="6"/>
  <c r="C9" i="6"/>
  <c r="G6" i="5"/>
  <c r="C20" i="5"/>
  <c r="C9" i="5"/>
  <c r="H22" i="5"/>
  <c r="G5" i="4"/>
  <c r="H22" i="4" s="1"/>
  <c r="C9" i="4"/>
  <c r="C20" i="4"/>
  <c r="C8" i="3"/>
  <c r="C19" i="3"/>
  <c r="D21" i="3"/>
  <c r="C7" i="2"/>
  <c r="C18" i="2"/>
  <c r="D20" i="2" s="1"/>
  <c r="H22" i="6" l="1"/>
  <c r="D22" i="6"/>
  <c r="D22" i="5"/>
  <c r="D22" i="4"/>
</calcChain>
</file>

<file path=xl/sharedStrings.xml><?xml version="1.0" encoding="utf-8"?>
<sst xmlns="http://schemas.openxmlformats.org/spreadsheetml/2006/main" count="224" uniqueCount="83">
  <si>
    <t>Activos</t>
  </si>
  <si>
    <t>Circulantes</t>
  </si>
  <si>
    <t>Caja</t>
  </si>
  <si>
    <t>Bancos</t>
  </si>
  <si>
    <t>Inventarios</t>
  </si>
  <si>
    <t>No Circulantes</t>
  </si>
  <si>
    <t>Terrenos</t>
  </si>
  <si>
    <t>Edificios</t>
  </si>
  <si>
    <t>Mobilario y Equipo</t>
  </si>
  <si>
    <t>Equipo de Cómputo Electrónico</t>
  </si>
  <si>
    <t>Equipo de Entrega y Reparto</t>
  </si>
  <si>
    <t>Gastos de Constitución</t>
  </si>
  <si>
    <t>Gastos de Instalación</t>
  </si>
  <si>
    <t>Papelería y Útiles</t>
  </si>
  <si>
    <t>Rentas Pagadas por Anticipado</t>
  </si>
  <si>
    <t>Sistema Activo Circulante</t>
  </si>
  <si>
    <t>Sistema Activo No Circulante</t>
  </si>
  <si>
    <t>Total Activo</t>
  </si>
  <si>
    <t>Capital</t>
  </si>
  <si>
    <t>Capital Contable</t>
  </si>
  <si>
    <t>Capital Social</t>
  </si>
  <si>
    <t>Utilidad</t>
  </si>
  <si>
    <t>Pérdida</t>
  </si>
  <si>
    <t>Total Capital</t>
  </si>
  <si>
    <r>
      <t xml:space="preserve">GanBo, </t>
    </r>
    <r>
      <rPr>
        <b/>
        <sz val="11"/>
        <color theme="1"/>
        <rFont val="Arial"/>
        <family val="2"/>
      </rPr>
      <t>S.A.S.</t>
    </r>
  </si>
  <si>
    <t>Pasivo y Capital</t>
  </si>
  <si>
    <t>IVA Acreditable</t>
  </si>
  <si>
    <t>IVA x Acreditar</t>
  </si>
  <si>
    <t>Pasivo</t>
  </si>
  <si>
    <t>Proveedores</t>
  </si>
  <si>
    <t>Total Capital + Pasivo</t>
  </si>
  <si>
    <t>Subtotal Pasivo</t>
  </si>
  <si>
    <t>Subtotal Capital</t>
  </si>
  <si>
    <t>Acreedores</t>
  </si>
  <si>
    <t>IVA Trasladado</t>
  </si>
  <si>
    <t>Anticipo de Cliente</t>
  </si>
  <si>
    <r>
      <t xml:space="preserve">GanBo, </t>
    </r>
    <r>
      <rPr>
        <b/>
        <sz val="14"/>
        <color rgb="FF000000"/>
        <rFont val="Arial"/>
        <family val="2"/>
      </rPr>
      <t>S.A.S.</t>
    </r>
  </si>
  <si>
    <t>A</t>
  </si>
  <si>
    <t>AC</t>
  </si>
  <si>
    <t>ACc</t>
  </si>
  <si>
    <t>ACi</t>
  </si>
  <si>
    <t>ACb</t>
  </si>
  <si>
    <t>ANC</t>
  </si>
  <si>
    <t>ANCt</t>
  </si>
  <si>
    <t>ANCe</t>
  </si>
  <si>
    <t>ANCme</t>
  </si>
  <si>
    <t>ANCece</t>
  </si>
  <si>
    <t>ANCeer</t>
  </si>
  <si>
    <t>ANCgc</t>
  </si>
  <si>
    <t>ANCgi</t>
  </si>
  <si>
    <t>ANCpu</t>
  </si>
  <si>
    <t>ANCrpa</t>
  </si>
  <si>
    <t>Compra de ganado</t>
  </si>
  <si>
    <t>Subtotal:</t>
  </si>
  <si>
    <t>IVA 16%</t>
  </si>
  <si>
    <t>$100,000.00 (16%)</t>
  </si>
  <si>
    <t>Total:</t>
  </si>
  <si>
    <t>Factura (IVA Acreditable)</t>
  </si>
  <si>
    <t>$50,000.00 (16%)</t>
  </si>
  <si>
    <t>Factura (IVA x Acreditar)</t>
  </si>
  <si>
    <t>Factura (Anticipo y Deuda)</t>
  </si>
  <si>
    <t>Compra de un camión</t>
  </si>
  <si>
    <t>$1,000,000.00 (16%)</t>
  </si>
  <si>
    <t>Contado (5%):</t>
  </si>
  <si>
    <t>$1,000,000.00 (5%)</t>
  </si>
  <si>
    <t>$8,000.00 + $50,000.00</t>
  </si>
  <si>
    <t>Crédito (95%)</t>
  </si>
  <si>
    <t>$1,000,000.00 (95%)</t>
  </si>
  <si>
    <t>$950,000.00 (16%)</t>
  </si>
  <si>
    <t xml:space="preserve">$152,000.00 + </t>
  </si>
  <si>
    <t>Total de Contado:</t>
  </si>
  <si>
    <t>Total a Crédito:</t>
  </si>
  <si>
    <t>Factura (Venta)</t>
  </si>
  <si>
    <t>Venta de carne</t>
  </si>
  <si>
    <t>$1,500,000.00 (16%)</t>
  </si>
  <si>
    <t>Subtotal + IVA:</t>
  </si>
  <si>
    <t>Anticipo resivido (80%):</t>
  </si>
  <si>
    <t>$1,740,000.00 (80%)</t>
  </si>
  <si>
    <t>Anticipo:</t>
  </si>
  <si>
    <t>Subtotal Anticipo:</t>
  </si>
  <si>
    <t>$1,392,000.00/1.16</t>
  </si>
  <si>
    <t>IVA:</t>
  </si>
  <si>
    <t>$1,200,000.00 (16%)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</si>
</sst>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D7D31"/>
        <bgColor rgb="FF0000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Border="1"/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8" fontId="5" fillId="0" borderId="0" xfId="0" applyNumberFormat="1" applyFont="1" applyBorder="1"/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6" fillId="8" borderId="5" xfId="0" applyFont="1" applyFill="1" applyBorder="1"/>
    <xf numFmtId="0" fontId="6" fillId="8" borderId="6" xfId="0" applyFont="1" applyFill="1" applyBorder="1"/>
    <xf numFmtId="8" fontId="5" fillId="0" borderId="5" xfId="0" applyNumberFormat="1" applyFont="1" applyBorder="1"/>
    <xf numFmtId="8" fontId="5" fillId="0" borderId="7" xfId="0" applyNumberFormat="1" applyFont="1" applyBorder="1"/>
    <xf numFmtId="0" fontId="5" fillId="0" borderId="8" xfId="0" applyFont="1" applyBorder="1"/>
    <xf numFmtId="0" fontId="7" fillId="0" borderId="24" xfId="0" applyFont="1" applyBorder="1"/>
    <xf numFmtId="0" fontId="7" fillId="0" borderId="10" xfId="0" applyFont="1" applyBorder="1"/>
    <xf numFmtId="0" fontId="7" fillId="0" borderId="25" xfId="0" applyFont="1" applyBorder="1"/>
    <xf numFmtId="0" fontId="7" fillId="0" borderId="11" xfId="0" applyFont="1" applyBorder="1"/>
    <xf numFmtId="8" fontId="7" fillId="0" borderId="11" xfId="0" applyNumberFormat="1" applyFont="1" applyBorder="1"/>
    <xf numFmtId="8" fontId="7" fillId="0" borderId="25" xfId="0" applyNumberFormat="1" applyFont="1" applyBorder="1"/>
    <xf numFmtId="0" fontId="7" fillId="0" borderId="26" xfId="0" applyFont="1" applyBorder="1"/>
    <xf numFmtId="0" fontId="7" fillId="0" borderId="12" xfId="0" applyFont="1" applyBorder="1"/>
    <xf numFmtId="0" fontId="7" fillId="0" borderId="23" xfId="0" applyFont="1" applyBorder="1"/>
    <xf numFmtId="0" fontId="8" fillId="9" borderId="7" xfId="0" applyFont="1" applyFill="1" applyBorder="1" applyAlignment="1">
      <alignment horizontal="center"/>
    </xf>
    <xf numFmtId="8" fontId="7" fillId="9" borderId="27" xfId="0" applyNumberFormat="1" applyFont="1" applyFill="1" applyBorder="1"/>
    <xf numFmtId="0" fontId="7" fillId="8" borderId="14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8" fillId="9" borderId="22" xfId="0" applyFont="1" applyFill="1" applyBorder="1" applyAlignment="1">
      <alignment horizontal="center"/>
    </xf>
    <xf numFmtId="4" fontId="7" fillId="0" borderId="25" xfId="0" applyNumberFormat="1" applyFont="1" applyBorder="1"/>
    <xf numFmtId="8" fontId="7" fillId="9" borderId="12" xfId="0" applyNumberFormat="1" applyFont="1" applyFill="1" applyBorder="1"/>
    <xf numFmtId="8" fontId="7" fillId="0" borderId="25" xfId="0" applyNumberFormat="1" applyFont="1" applyBorder="1" applyAlignment="1">
      <alignment horizontal="left"/>
    </xf>
    <xf numFmtId="8" fontId="7" fillId="6" borderId="25" xfId="0" applyNumberFormat="1" applyFont="1" applyFill="1" applyBorder="1"/>
    <xf numFmtId="0" fontId="7" fillId="3" borderId="25" xfId="0" applyFont="1" applyFill="1" applyBorder="1"/>
    <xf numFmtId="8" fontId="7" fillId="3" borderId="25" xfId="0" applyNumberFormat="1" applyFont="1" applyFill="1" applyBorder="1"/>
    <xf numFmtId="8" fontId="7" fillId="0" borderId="23" xfId="0" applyNumberFormat="1" applyFont="1" applyBorder="1" applyAlignment="1">
      <alignment horizontal="center"/>
    </xf>
    <xf numFmtId="8" fontId="7" fillId="0" borderId="25" xfId="0" applyNumberFormat="1" applyFont="1" applyFill="1" applyBorder="1"/>
    <xf numFmtId="0" fontId="7" fillId="0" borderId="1" xfId="0" applyFont="1" applyBorder="1"/>
    <xf numFmtId="4" fontId="7" fillId="0" borderId="29" xfId="0" applyNumberFormat="1" applyFont="1" applyBorder="1"/>
    <xf numFmtId="8" fontId="7" fillId="0" borderId="11" xfId="0" applyNumberFormat="1" applyFont="1" applyBorder="1" applyAlignment="1">
      <alignment horizontal="left"/>
    </xf>
    <xf numFmtId="8" fontId="7" fillId="0" borderId="11" xfId="0" applyNumberFormat="1" applyFont="1" applyFill="1" applyBorder="1"/>
    <xf numFmtId="8" fontId="7" fillId="0" borderId="24" xfId="0" applyNumberFormat="1" applyFont="1" applyFill="1" applyBorder="1"/>
    <xf numFmtId="8" fontId="7" fillId="0" borderId="2" xfId="0" applyNumberFormat="1" applyFont="1" applyFill="1" applyBorder="1"/>
    <xf numFmtId="8" fontId="7" fillId="0" borderId="3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0" borderId="5" xfId="0" applyFont="1" applyBorder="1"/>
    <xf numFmtId="8" fontId="10" fillId="0" borderId="9" xfId="0" applyNumberFormat="1" applyFont="1" applyBorder="1"/>
    <xf numFmtId="0" fontId="10" fillId="0" borderId="9" xfId="0" applyFont="1" applyBorder="1"/>
    <xf numFmtId="0" fontId="10" fillId="0" borderId="6" xfId="0" applyFont="1" applyBorder="1"/>
    <xf numFmtId="0" fontId="10" fillId="5" borderId="5" xfId="0" applyFont="1" applyFill="1" applyBorder="1"/>
    <xf numFmtId="6" fontId="10" fillId="5" borderId="9" xfId="0" applyNumberFormat="1" applyFont="1" applyFill="1" applyBorder="1"/>
    <xf numFmtId="8" fontId="10" fillId="5" borderId="9" xfId="0" applyNumberFormat="1" applyFont="1" applyFill="1" applyBorder="1"/>
    <xf numFmtId="0" fontId="10" fillId="2" borderId="3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6" fontId="10" fillId="0" borderId="9" xfId="0" applyNumberFormat="1" applyFont="1" applyBorder="1"/>
    <xf numFmtId="0" fontId="10" fillId="5" borderId="9" xfId="0" applyFont="1" applyFill="1" applyBorder="1"/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8" fontId="10" fillId="4" borderId="8" xfId="0" applyNumberFormat="1" applyFont="1" applyFill="1" applyBorder="1"/>
    <xf numFmtId="0" fontId="9" fillId="6" borderId="20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8" fontId="10" fillId="6" borderId="8" xfId="0" applyNumberFormat="1" applyFont="1" applyFill="1" applyBorder="1"/>
    <xf numFmtId="0" fontId="10" fillId="0" borderId="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DB9D-27AD-4EE3-8F16-9AE6FABA8BCD}">
  <dimension ref="A1:B18"/>
  <sheetViews>
    <sheetView tabSelected="1" workbookViewId="0">
      <selection activeCell="D15" sqref="D15"/>
    </sheetView>
  </sheetViews>
  <sheetFormatPr baseColWidth="10" defaultRowHeight="14.4" x14ac:dyDescent="0.3"/>
  <cols>
    <col min="1" max="1" width="10" customWidth="1"/>
    <col min="2" max="2" width="31.44140625" customWidth="1"/>
  </cols>
  <sheetData>
    <row r="1" spans="1:2" ht="17.399999999999999" x14ac:dyDescent="0.3">
      <c r="A1" s="8" t="s">
        <v>36</v>
      </c>
      <c r="B1" s="9"/>
    </row>
    <row r="2" spans="1:2" ht="15.6" x14ac:dyDescent="0.3">
      <c r="A2" s="10" t="s">
        <v>37</v>
      </c>
      <c r="B2" s="11" t="s">
        <v>0</v>
      </c>
    </row>
    <row r="3" spans="1:2" ht="15.6" x14ac:dyDescent="0.3">
      <c r="A3" s="12" t="s">
        <v>38</v>
      </c>
      <c r="B3" s="13" t="s">
        <v>1</v>
      </c>
    </row>
    <row r="4" spans="1:2" ht="15.6" x14ac:dyDescent="0.3">
      <c r="A4" s="14" t="s">
        <v>39</v>
      </c>
      <c r="B4" s="11" t="s">
        <v>2</v>
      </c>
    </row>
    <row r="5" spans="1:2" ht="15.6" x14ac:dyDescent="0.3">
      <c r="A5" s="14" t="s">
        <v>41</v>
      </c>
      <c r="B5" s="11" t="s">
        <v>3</v>
      </c>
    </row>
    <row r="6" spans="1:2" ht="15.6" x14ac:dyDescent="0.3">
      <c r="A6" s="14" t="s">
        <v>40</v>
      </c>
      <c r="B6" s="11" t="s">
        <v>4</v>
      </c>
    </row>
    <row r="7" spans="1:2" ht="15.6" x14ac:dyDescent="0.3">
      <c r="A7" s="12" t="s">
        <v>42</v>
      </c>
      <c r="B7" s="13" t="s">
        <v>5</v>
      </c>
    </row>
    <row r="8" spans="1:2" ht="15.6" x14ac:dyDescent="0.3">
      <c r="A8" s="14" t="s">
        <v>43</v>
      </c>
      <c r="B8" s="11" t="s">
        <v>6</v>
      </c>
    </row>
    <row r="9" spans="1:2" ht="15.6" x14ac:dyDescent="0.3">
      <c r="A9" s="14" t="s">
        <v>44</v>
      </c>
      <c r="B9" s="11" t="s">
        <v>7</v>
      </c>
    </row>
    <row r="10" spans="1:2" ht="15.6" x14ac:dyDescent="0.3">
      <c r="A10" s="14" t="s">
        <v>45</v>
      </c>
      <c r="B10" s="11" t="s">
        <v>8</v>
      </c>
    </row>
    <row r="11" spans="1:2" ht="15.6" x14ac:dyDescent="0.3">
      <c r="A11" s="14" t="s">
        <v>46</v>
      </c>
      <c r="B11" s="11" t="s">
        <v>9</v>
      </c>
    </row>
    <row r="12" spans="1:2" ht="15.6" x14ac:dyDescent="0.3">
      <c r="A12" s="14" t="s">
        <v>47</v>
      </c>
      <c r="B12" s="11" t="s">
        <v>10</v>
      </c>
    </row>
    <row r="13" spans="1:2" ht="15.6" x14ac:dyDescent="0.3">
      <c r="A13" s="14" t="s">
        <v>48</v>
      </c>
      <c r="B13" s="11" t="s">
        <v>11</v>
      </c>
    </row>
    <row r="14" spans="1:2" ht="15.6" x14ac:dyDescent="0.3">
      <c r="A14" s="14" t="s">
        <v>49</v>
      </c>
      <c r="B14" s="11" t="s">
        <v>12</v>
      </c>
    </row>
    <row r="15" spans="1:2" ht="15.6" x14ac:dyDescent="0.3">
      <c r="A15" s="14" t="s">
        <v>50</v>
      </c>
      <c r="B15" s="11" t="s">
        <v>13</v>
      </c>
    </row>
    <row r="16" spans="1:2" ht="16.2" thickBot="1" x14ac:dyDescent="0.35">
      <c r="A16" s="15" t="s">
        <v>51</v>
      </c>
      <c r="B16" s="16" t="s">
        <v>14</v>
      </c>
    </row>
    <row r="17" spans="1:2" ht="15.6" x14ac:dyDescent="0.3">
      <c r="A17" s="1"/>
      <c r="B17" s="5"/>
    </row>
    <row r="18" spans="1:2" ht="15.6" x14ac:dyDescent="0.3">
      <c r="A18" s="6"/>
      <c r="B18" s="7"/>
    </row>
  </sheetData>
  <mergeCells count="1">
    <mergeCell ref="A1:B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CD93-6CA2-4D07-A522-D8AB9E993B1A}">
  <dimension ref="A1:J20"/>
  <sheetViews>
    <sheetView workbookViewId="0">
      <selection activeCell="K12" sqref="K12"/>
    </sheetView>
  </sheetViews>
  <sheetFormatPr baseColWidth="10" defaultRowHeight="14.4" x14ac:dyDescent="0.3"/>
  <cols>
    <col min="1" max="1" width="21.21875" customWidth="1"/>
    <col min="2" max="2" width="9.77734375" customWidth="1"/>
    <col min="3" max="3" width="9.6640625" customWidth="1"/>
    <col min="4" max="4" width="9.77734375" customWidth="1"/>
    <col min="5" max="5" width="9.33203125" customWidth="1"/>
    <col min="6" max="6" width="6.6640625" customWidth="1"/>
    <col min="7" max="7" width="9.6640625" customWidth="1"/>
    <col min="8" max="8" width="10.6640625" customWidth="1"/>
    <col min="10" max="11" width="20.77734375" customWidth="1"/>
  </cols>
  <sheetData>
    <row r="1" spans="1:10" ht="15" thickBot="1" x14ac:dyDescent="0.35">
      <c r="A1" s="4" t="s">
        <v>24</v>
      </c>
      <c r="B1" s="2"/>
      <c r="C1" s="2"/>
      <c r="D1" s="2"/>
      <c r="E1" s="2"/>
      <c r="F1" s="2"/>
      <c r="G1" s="2"/>
      <c r="H1" s="3"/>
      <c r="J1" s="1"/>
    </row>
    <row r="2" spans="1:10" x14ac:dyDescent="0.3">
      <c r="A2" s="72" t="s">
        <v>0</v>
      </c>
      <c r="B2" s="73"/>
      <c r="C2" s="73"/>
      <c r="D2" s="74"/>
      <c r="E2" s="72" t="s">
        <v>25</v>
      </c>
      <c r="F2" s="73"/>
      <c r="G2" s="73"/>
      <c r="H2" s="74"/>
      <c r="J2" s="1"/>
    </row>
    <row r="3" spans="1:10" x14ac:dyDescent="0.3">
      <c r="A3" s="46" t="s">
        <v>1</v>
      </c>
      <c r="B3" s="47"/>
      <c r="C3" s="47"/>
      <c r="D3" s="48"/>
      <c r="E3" s="49" t="s">
        <v>19</v>
      </c>
      <c r="F3" s="50"/>
      <c r="G3" s="50"/>
      <c r="H3" s="51"/>
      <c r="J3" s="1"/>
    </row>
    <row r="4" spans="1:10" x14ac:dyDescent="0.3">
      <c r="A4" s="52" t="s">
        <v>2</v>
      </c>
      <c r="B4" s="53">
        <v>70000</v>
      </c>
      <c r="C4" s="54"/>
      <c r="D4" s="55"/>
      <c r="E4" s="52" t="s">
        <v>20</v>
      </c>
      <c r="F4" s="53"/>
      <c r="G4" s="53">
        <v>5333000</v>
      </c>
      <c r="H4" s="55"/>
      <c r="J4" s="1"/>
    </row>
    <row r="5" spans="1:10" x14ac:dyDescent="0.3">
      <c r="A5" s="52" t="s">
        <v>3</v>
      </c>
      <c r="B5" s="53">
        <v>200000</v>
      </c>
      <c r="C5" s="54"/>
      <c r="D5" s="55"/>
      <c r="E5" s="52" t="s">
        <v>21</v>
      </c>
      <c r="F5" s="62">
        <v>0</v>
      </c>
      <c r="G5" s="54"/>
      <c r="H5" s="55"/>
      <c r="J5" s="1"/>
    </row>
    <row r="6" spans="1:10" x14ac:dyDescent="0.3">
      <c r="A6" s="52" t="s">
        <v>4</v>
      </c>
      <c r="B6" s="53">
        <v>150000</v>
      </c>
      <c r="C6" s="54"/>
      <c r="D6" s="55"/>
      <c r="E6" s="52" t="s">
        <v>22</v>
      </c>
      <c r="F6" s="62">
        <v>0</v>
      </c>
      <c r="G6" s="62"/>
      <c r="H6" s="55"/>
      <c r="J6" s="1"/>
    </row>
    <row r="7" spans="1:10" x14ac:dyDescent="0.3">
      <c r="A7" s="56" t="s">
        <v>15</v>
      </c>
      <c r="B7" s="58"/>
      <c r="C7" s="58">
        <f>SUM(B4:B6)</f>
        <v>420000</v>
      </c>
      <c r="D7" s="55"/>
      <c r="E7" s="52"/>
      <c r="F7" s="54"/>
      <c r="G7" s="54"/>
      <c r="H7" s="55"/>
      <c r="J7" s="1"/>
    </row>
    <row r="8" spans="1:10" x14ac:dyDescent="0.3">
      <c r="A8" s="46" t="s">
        <v>5</v>
      </c>
      <c r="B8" s="47"/>
      <c r="C8" s="47"/>
      <c r="D8" s="48"/>
      <c r="E8" s="52"/>
      <c r="F8" s="54"/>
      <c r="G8" s="54"/>
      <c r="H8" s="55"/>
      <c r="J8" s="1"/>
    </row>
    <row r="9" spans="1:10" x14ac:dyDescent="0.3">
      <c r="A9" s="52" t="s">
        <v>6</v>
      </c>
      <c r="B9" s="53">
        <v>2500000</v>
      </c>
      <c r="C9" s="54"/>
      <c r="D9" s="55"/>
      <c r="E9" s="52"/>
      <c r="F9" s="54"/>
      <c r="G9" s="54"/>
      <c r="H9" s="55"/>
      <c r="J9" s="1"/>
    </row>
    <row r="10" spans="1:10" x14ac:dyDescent="0.3">
      <c r="A10" s="52" t="s">
        <v>7</v>
      </c>
      <c r="B10" s="53">
        <v>1000000</v>
      </c>
      <c r="C10" s="54"/>
      <c r="D10" s="55"/>
      <c r="E10" s="52"/>
      <c r="F10" s="54"/>
      <c r="G10" s="54"/>
      <c r="H10" s="55"/>
      <c r="J10" s="1"/>
    </row>
    <row r="11" spans="1:10" x14ac:dyDescent="0.3">
      <c r="A11" s="52" t="s">
        <v>8</v>
      </c>
      <c r="B11" s="53">
        <v>145000</v>
      </c>
      <c r="C11" s="54"/>
      <c r="D11" s="55"/>
      <c r="E11" s="52"/>
      <c r="F11" s="54"/>
      <c r="G11" s="54"/>
      <c r="H11" s="55"/>
      <c r="J11" s="1"/>
    </row>
    <row r="12" spans="1:10" x14ac:dyDescent="0.3">
      <c r="A12" s="52" t="s">
        <v>9</v>
      </c>
      <c r="B12" s="53">
        <v>60000</v>
      </c>
      <c r="C12" s="54"/>
      <c r="D12" s="55"/>
      <c r="E12" s="52"/>
      <c r="F12" s="54"/>
      <c r="G12" s="54"/>
      <c r="H12" s="55"/>
      <c r="J12" s="1"/>
    </row>
    <row r="13" spans="1:10" x14ac:dyDescent="0.3">
      <c r="A13" s="52" t="s">
        <v>10</v>
      </c>
      <c r="B13" s="53">
        <v>1000000</v>
      </c>
      <c r="C13" s="54"/>
      <c r="D13" s="55"/>
      <c r="E13" s="52"/>
      <c r="F13" s="54"/>
      <c r="G13" s="54"/>
      <c r="H13" s="55"/>
      <c r="J13" s="1"/>
    </row>
    <row r="14" spans="1:10" x14ac:dyDescent="0.3">
      <c r="A14" s="52" t="s">
        <v>11</v>
      </c>
      <c r="B14" s="62">
        <v>0</v>
      </c>
      <c r="C14" s="54"/>
      <c r="D14" s="55"/>
      <c r="E14" s="52"/>
      <c r="F14" s="54"/>
      <c r="G14" s="54"/>
      <c r="H14" s="55"/>
      <c r="J14" s="1"/>
    </row>
    <row r="15" spans="1:10" x14ac:dyDescent="0.3">
      <c r="A15" s="52" t="s">
        <v>12</v>
      </c>
      <c r="B15" s="53">
        <v>150000</v>
      </c>
      <c r="C15" s="54"/>
      <c r="D15" s="55"/>
      <c r="E15" s="52"/>
      <c r="F15" s="54"/>
      <c r="G15" s="54"/>
      <c r="H15" s="55"/>
      <c r="J15" s="1"/>
    </row>
    <row r="16" spans="1:10" x14ac:dyDescent="0.3">
      <c r="A16" s="52" t="s">
        <v>13</v>
      </c>
      <c r="B16" s="53">
        <v>8000</v>
      </c>
      <c r="C16" s="54"/>
      <c r="D16" s="55"/>
      <c r="E16" s="52"/>
      <c r="F16" s="54"/>
      <c r="G16" s="54"/>
      <c r="H16" s="55"/>
      <c r="J16" s="1"/>
    </row>
    <row r="17" spans="1:10" x14ac:dyDescent="0.3">
      <c r="A17" s="52" t="s">
        <v>14</v>
      </c>
      <c r="B17" s="53">
        <v>50000</v>
      </c>
      <c r="C17" s="54"/>
      <c r="D17" s="55"/>
      <c r="E17" s="52"/>
      <c r="F17" s="54"/>
      <c r="G17" s="54"/>
      <c r="H17" s="55"/>
      <c r="J17" s="1"/>
    </row>
    <row r="18" spans="1:10" x14ac:dyDescent="0.3">
      <c r="A18" s="56" t="s">
        <v>16</v>
      </c>
      <c r="B18" s="58"/>
      <c r="C18" s="58">
        <f>SUM(B9:B17)</f>
        <v>4913000</v>
      </c>
      <c r="D18" s="55"/>
      <c r="E18" s="52"/>
      <c r="F18" s="54"/>
      <c r="G18" s="54"/>
      <c r="H18" s="55"/>
      <c r="J18" s="1"/>
    </row>
    <row r="19" spans="1:10" x14ac:dyDescent="0.3">
      <c r="A19" s="52"/>
      <c r="B19" s="53"/>
      <c r="C19" s="54"/>
      <c r="D19" s="55"/>
      <c r="E19" s="52"/>
      <c r="F19" s="54"/>
      <c r="G19" s="54"/>
      <c r="H19" s="55"/>
      <c r="J19" s="1"/>
    </row>
    <row r="20" spans="1:10" ht="15" thickBot="1" x14ac:dyDescent="0.35">
      <c r="A20" s="64" t="s">
        <v>17</v>
      </c>
      <c r="B20" s="65"/>
      <c r="C20" s="66"/>
      <c r="D20" s="67">
        <f>SUM(C7:C18)</f>
        <v>5333000</v>
      </c>
      <c r="E20" s="68" t="s">
        <v>23</v>
      </c>
      <c r="F20" s="69"/>
      <c r="G20" s="70"/>
      <c r="H20" s="71">
        <v>5333000</v>
      </c>
      <c r="J20" s="1"/>
    </row>
  </sheetData>
  <mergeCells count="8">
    <mergeCell ref="E20:G20"/>
    <mergeCell ref="A20:C20"/>
    <mergeCell ref="A1:H1"/>
    <mergeCell ref="A2:D2"/>
    <mergeCell ref="A3:D3"/>
    <mergeCell ref="A8:D8"/>
    <mergeCell ref="E2:H2"/>
    <mergeCell ref="E3:H3"/>
  </mergeCells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EEA1-2163-4450-B06C-9CA59F56399E}">
  <dimension ref="A1:K21"/>
  <sheetViews>
    <sheetView workbookViewId="0">
      <selection activeCell="N17" sqref="N16:N17"/>
    </sheetView>
  </sheetViews>
  <sheetFormatPr baseColWidth="10" defaultRowHeight="14.4" x14ac:dyDescent="0.3"/>
  <cols>
    <col min="1" max="1" width="20.77734375" customWidth="1"/>
    <col min="2" max="4" width="9.77734375" customWidth="1"/>
    <col min="5" max="5" width="9.5546875" customWidth="1"/>
    <col min="6" max="6" width="6.5546875" customWidth="1"/>
    <col min="7" max="8" width="9.77734375" customWidth="1"/>
    <col min="10" max="10" width="19.5546875" customWidth="1"/>
    <col min="11" max="11" width="17.6640625" customWidth="1"/>
  </cols>
  <sheetData>
    <row r="1" spans="1:11" ht="15" thickBot="1" x14ac:dyDescent="0.35">
      <c r="A1" s="4" t="s">
        <v>24</v>
      </c>
      <c r="B1" s="2"/>
      <c r="C1" s="2"/>
      <c r="D1" s="2"/>
      <c r="E1" s="2"/>
      <c r="F1" s="2"/>
      <c r="G1" s="2"/>
      <c r="H1" s="3"/>
      <c r="J1" s="28" t="s">
        <v>57</v>
      </c>
      <c r="K1" s="29"/>
    </row>
    <row r="2" spans="1:11" x14ac:dyDescent="0.3">
      <c r="A2" s="72" t="s">
        <v>0</v>
      </c>
      <c r="B2" s="73"/>
      <c r="C2" s="73"/>
      <c r="D2" s="74"/>
      <c r="E2" s="72" t="s">
        <v>25</v>
      </c>
      <c r="F2" s="73"/>
      <c r="G2" s="73"/>
      <c r="H2" s="74"/>
      <c r="J2" s="17"/>
      <c r="K2" s="18"/>
    </row>
    <row r="3" spans="1:11" x14ac:dyDescent="0.3">
      <c r="A3" s="46" t="s">
        <v>1</v>
      </c>
      <c r="B3" s="47"/>
      <c r="C3" s="47"/>
      <c r="D3" s="48"/>
      <c r="E3" s="49" t="s">
        <v>19</v>
      </c>
      <c r="F3" s="50"/>
      <c r="G3" s="50"/>
      <c r="H3" s="51"/>
      <c r="J3" s="19" t="s">
        <v>52</v>
      </c>
      <c r="K3" s="20" t="s">
        <v>54</v>
      </c>
    </row>
    <row r="4" spans="1:11" x14ac:dyDescent="0.3">
      <c r="A4" s="52" t="s">
        <v>2</v>
      </c>
      <c r="B4" s="53">
        <v>70000</v>
      </c>
      <c r="C4" s="54"/>
      <c r="D4" s="55"/>
      <c r="E4" s="52" t="s">
        <v>20</v>
      </c>
      <c r="F4" s="53"/>
      <c r="G4" s="53">
        <v>5333000</v>
      </c>
      <c r="H4" s="55"/>
      <c r="J4" s="19"/>
      <c r="K4" s="20"/>
    </row>
    <row r="5" spans="1:11" x14ac:dyDescent="0.3">
      <c r="A5" s="52" t="s">
        <v>3</v>
      </c>
      <c r="B5" s="53">
        <v>84000</v>
      </c>
      <c r="C5" s="54"/>
      <c r="D5" s="55"/>
      <c r="E5" s="52" t="s">
        <v>21</v>
      </c>
      <c r="F5" s="62">
        <v>0</v>
      </c>
      <c r="G5" s="54"/>
      <c r="H5" s="55"/>
      <c r="J5" s="19" t="s">
        <v>53</v>
      </c>
      <c r="K5" s="21" t="s">
        <v>55</v>
      </c>
    </row>
    <row r="6" spans="1:11" x14ac:dyDescent="0.3">
      <c r="A6" s="52" t="s">
        <v>4</v>
      </c>
      <c r="B6" s="53">
        <v>250000</v>
      </c>
      <c r="C6" s="54"/>
      <c r="D6" s="55"/>
      <c r="E6" s="52" t="s">
        <v>22</v>
      </c>
      <c r="F6" s="62">
        <v>0</v>
      </c>
      <c r="G6" s="62"/>
      <c r="H6" s="55"/>
      <c r="J6" s="22">
        <v>100000</v>
      </c>
      <c r="K6" s="21">
        <v>16000</v>
      </c>
    </row>
    <row r="7" spans="1:11" ht="15" thickBot="1" x14ac:dyDescent="0.35">
      <c r="A7" s="52" t="s">
        <v>26</v>
      </c>
      <c r="B7" s="53">
        <v>16000</v>
      </c>
      <c r="C7" s="54"/>
      <c r="D7" s="55"/>
      <c r="E7" s="52"/>
      <c r="F7" s="62"/>
      <c r="G7" s="62"/>
      <c r="H7" s="55"/>
      <c r="J7" s="23"/>
      <c r="K7" s="24"/>
    </row>
    <row r="8" spans="1:11" x14ac:dyDescent="0.3">
      <c r="A8" s="56" t="s">
        <v>15</v>
      </c>
      <c r="B8" s="58"/>
      <c r="C8" s="58">
        <f>SUM(B4:B7)</f>
        <v>420000</v>
      </c>
      <c r="D8" s="55"/>
      <c r="E8" s="52"/>
      <c r="F8" s="54"/>
      <c r="G8" s="54"/>
      <c r="H8" s="55"/>
      <c r="J8" s="25"/>
      <c r="K8" s="20"/>
    </row>
    <row r="9" spans="1:11" x14ac:dyDescent="0.3">
      <c r="A9" s="46" t="s">
        <v>5</v>
      </c>
      <c r="B9" s="47"/>
      <c r="C9" s="47"/>
      <c r="D9" s="48"/>
      <c r="E9" s="52"/>
      <c r="F9" s="54"/>
      <c r="G9" s="54"/>
      <c r="H9" s="55"/>
      <c r="J9" s="37" t="s">
        <v>75</v>
      </c>
      <c r="K9" s="21">
        <f>SUM(J6,K6)</f>
        <v>116000</v>
      </c>
    </row>
    <row r="10" spans="1:11" x14ac:dyDescent="0.3">
      <c r="A10" s="52" t="s">
        <v>6</v>
      </c>
      <c r="B10" s="53">
        <v>2500000</v>
      </c>
      <c r="C10" s="54"/>
      <c r="D10" s="55"/>
      <c r="E10" s="52"/>
      <c r="F10" s="54"/>
      <c r="G10" s="54"/>
      <c r="H10" s="55"/>
      <c r="J10" s="25"/>
      <c r="K10" s="20"/>
    </row>
    <row r="11" spans="1:11" x14ac:dyDescent="0.3">
      <c r="A11" s="52" t="s">
        <v>7</v>
      </c>
      <c r="B11" s="53">
        <v>1000000</v>
      </c>
      <c r="C11" s="54"/>
      <c r="D11" s="55"/>
      <c r="E11" s="52"/>
      <c r="F11" s="54"/>
      <c r="G11" s="54"/>
      <c r="H11" s="55"/>
      <c r="J11" s="25"/>
      <c r="K11" s="20"/>
    </row>
    <row r="12" spans="1:11" x14ac:dyDescent="0.3">
      <c r="A12" s="52" t="s">
        <v>8</v>
      </c>
      <c r="B12" s="53">
        <v>145000</v>
      </c>
      <c r="C12" s="54"/>
      <c r="D12" s="55"/>
      <c r="E12" s="52"/>
      <c r="F12" s="54"/>
      <c r="G12" s="54"/>
      <c r="H12" s="55"/>
      <c r="J12" s="25"/>
      <c r="K12" s="20"/>
    </row>
    <row r="13" spans="1:11" x14ac:dyDescent="0.3">
      <c r="A13" s="52" t="s">
        <v>9</v>
      </c>
      <c r="B13" s="53">
        <v>60000</v>
      </c>
      <c r="C13" s="54"/>
      <c r="D13" s="55"/>
      <c r="E13" s="52"/>
      <c r="F13" s="54"/>
      <c r="G13" s="54"/>
      <c r="H13" s="55"/>
      <c r="J13" s="25"/>
      <c r="K13" s="20"/>
    </row>
    <row r="14" spans="1:11" x14ac:dyDescent="0.3">
      <c r="A14" s="52" t="s">
        <v>10</v>
      </c>
      <c r="B14" s="53">
        <v>1000000</v>
      </c>
      <c r="C14" s="54"/>
      <c r="D14" s="55"/>
      <c r="E14" s="52"/>
      <c r="F14" s="54"/>
      <c r="G14" s="54"/>
      <c r="H14" s="55"/>
      <c r="J14" s="25"/>
      <c r="K14" s="20"/>
    </row>
    <row r="15" spans="1:11" x14ac:dyDescent="0.3">
      <c r="A15" s="52" t="s">
        <v>11</v>
      </c>
      <c r="B15" s="62">
        <v>0</v>
      </c>
      <c r="C15" s="54"/>
      <c r="D15" s="55"/>
      <c r="E15" s="52"/>
      <c r="F15" s="54"/>
      <c r="G15" s="54"/>
      <c r="H15" s="55"/>
      <c r="J15" s="25"/>
      <c r="K15" s="20"/>
    </row>
    <row r="16" spans="1:11" x14ac:dyDescent="0.3">
      <c r="A16" s="52" t="s">
        <v>12</v>
      </c>
      <c r="B16" s="53">
        <v>150000</v>
      </c>
      <c r="C16" s="54"/>
      <c r="D16" s="55"/>
      <c r="E16" s="52"/>
      <c r="F16" s="54"/>
      <c r="G16" s="54"/>
      <c r="H16" s="55"/>
      <c r="J16" s="25"/>
      <c r="K16" s="20"/>
    </row>
    <row r="17" spans="1:11" x14ac:dyDescent="0.3">
      <c r="A17" s="52" t="s">
        <v>13</v>
      </c>
      <c r="B17" s="53">
        <v>8000</v>
      </c>
      <c r="C17" s="54"/>
      <c r="D17" s="55"/>
      <c r="E17" s="52"/>
      <c r="F17" s="54"/>
      <c r="G17" s="54"/>
      <c r="H17" s="55"/>
      <c r="J17" s="25"/>
      <c r="K17" s="20"/>
    </row>
    <row r="18" spans="1:11" x14ac:dyDescent="0.3">
      <c r="A18" s="52" t="s">
        <v>14</v>
      </c>
      <c r="B18" s="53">
        <v>50000</v>
      </c>
      <c r="C18" s="54"/>
      <c r="D18" s="55"/>
      <c r="E18" s="52"/>
      <c r="F18" s="54"/>
      <c r="G18" s="54"/>
      <c r="H18" s="55"/>
      <c r="J18" s="25"/>
      <c r="K18" s="20"/>
    </row>
    <row r="19" spans="1:11" x14ac:dyDescent="0.3">
      <c r="A19" s="56" t="s">
        <v>16</v>
      </c>
      <c r="B19" s="58"/>
      <c r="C19" s="58">
        <f>SUM(B10:B18)</f>
        <v>4913000</v>
      </c>
      <c r="D19" s="55"/>
      <c r="E19" s="52"/>
      <c r="F19" s="54"/>
      <c r="G19" s="54"/>
      <c r="H19" s="55"/>
      <c r="J19" s="25"/>
      <c r="K19" s="20"/>
    </row>
    <row r="20" spans="1:11" x14ac:dyDescent="0.3">
      <c r="A20" s="52"/>
      <c r="B20" s="53"/>
      <c r="C20" s="54"/>
      <c r="D20" s="55"/>
      <c r="E20" s="52"/>
      <c r="F20" s="54"/>
      <c r="G20" s="54"/>
      <c r="H20" s="55"/>
      <c r="J20" s="25"/>
      <c r="K20" s="20"/>
    </row>
    <row r="21" spans="1:11" ht="15" thickBot="1" x14ac:dyDescent="0.35">
      <c r="A21" s="64" t="s">
        <v>17</v>
      </c>
      <c r="B21" s="65"/>
      <c r="C21" s="66"/>
      <c r="D21" s="67">
        <f>SUM(C8:C19)</f>
        <v>5333000</v>
      </c>
      <c r="E21" s="68" t="s">
        <v>23</v>
      </c>
      <c r="F21" s="69"/>
      <c r="G21" s="70"/>
      <c r="H21" s="71">
        <v>5333000</v>
      </c>
      <c r="J21" s="26" t="s">
        <v>56</v>
      </c>
      <c r="K21" s="27">
        <f>SUM(J6,K6)</f>
        <v>116000</v>
      </c>
    </row>
  </sheetData>
  <mergeCells count="9">
    <mergeCell ref="A21:C21"/>
    <mergeCell ref="E21:G21"/>
    <mergeCell ref="J1:K1"/>
    <mergeCell ref="A1:H1"/>
    <mergeCell ref="A2:D2"/>
    <mergeCell ref="E2:H2"/>
    <mergeCell ref="A3:D3"/>
    <mergeCell ref="E3:H3"/>
    <mergeCell ref="A9:D9"/>
  </mergeCells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522B-A0B5-491B-A3AD-ADB3BB29BE1E}">
  <dimension ref="A1:K22"/>
  <sheetViews>
    <sheetView workbookViewId="0">
      <selection activeCell="H8" sqref="H8"/>
    </sheetView>
  </sheetViews>
  <sheetFormatPr baseColWidth="10" defaultRowHeight="14.4" x14ac:dyDescent="0.3"/>
  <cols>
    <col min="1" max="1" width="21.109375" customWidth="1"/>
    <col min="2" max="4" width="9.77734375" customWidth="1"/>
    <col min="5" max="5" width="11.109375" customWidth="1"/>
    <col min="6" max="6" width="9.6640625" customWidth="1"/>
    <col min="7" max="7" width="10" customWidth="1"/>
    <col min="8" max="8" width="13.77734375" bestFit="1" customWidth="1"/>
    <col min="10" max="10" width="19.5546875" customWidth="1"/>
    <col min="11" max="11" width="17.6640625" customWidth="1"/>
  </cols>
  <sheetData>
    <row r="1" spans="1:11" ht="15" thickBot="1" x14ac:dyDescent="0.35">
      <c r="A1" s="4" t="s">
        <v>24</v>
      </c>
      <c r="B1" s="2"/>
      <c r="C1" s="2"/>
      <c r="D1" s="2"/>
      <c r="E1" s="2"/>
      <c r="F1" s="2"/>
      <c r="G1" s="2"/>
      <c r="H1" s="3"/>
      <c r="J1" s="28" t="s">
        <v>59</v>
      </c>
      <c r="K1" s="29"/>
    </row>
    <row r="2" spans="1:11" x14ac:dyDescent="0.3">
      <c r="A2" s="72" t="s">
        <v>0</v>
      </c>
      <c r="B2" s="73"/>
      <c r="C2" s="73"/>
      <c r="D2" s="74"/>
      <c r="E2" s="72" t="s">
        <v>25</v>
      </c>
      <c r="F2" s="73"/>
      <c r="G2" s="73"/>
      <c r="H2" s="74"/>
      <c r="J2" s="17"/>
      <c r="K2" s="18"/>
    </row>
    <row r="3" spans="1:11" x14ac:dyDescent="0.3">
      <c r="A3" s="46" t="s">
        <v>1</v>
      </c>
      <c r="B3" s="47"/>
      <c r="C3" s="47"/>
      <c r="D3" s="48"/>
      <c r="E3" s="49" t="s">
        <v>28</v>
      </c>
      <c r="F3" s="50"/>
      <c r="G3" s="50"/>
      <c r="H3" s="51"/>
      <c r="J3" s="19" t="s">
        <v>52</v>
      </c>
      <c r="K3" s="20" t="s">
        <v>54</v>
      </c>
    </row>
    <row r="4" spans="1:11" x14ac:dyDescent="0.3">
      <c r="A4" s="52" t="s">
        <v>2</v>
      </c>
      <c r="B4" s="53">
        <v>70000</v>
      </c>
      <c r="C4" s="54"/>
      <c r="D4" s="55"/>
      <c r="E4" s="52" t="s">
        <v>29</v>
      </c>
      <c r="F4" s="53">
        <v>58000</v>
      </c>
      <c r="G4" s="53"/>
      <c r="H4" s="55"/>
      <c r="J4" s="19"/>
      <c r="K4" s="20"/>
    </row>
    <row r="5" spans="1:11" x14ac:dyDescent="0.3">
      <c r="A5" s="52" t="s">
        <v>3</v>
      </c>
      <c r="B5" s="53">
        <v>84000</v>
      </c>
      <c r="C5" s="54"/>
      <c r="D5" s="55"/>
      <c r="E5" s="56" t="s">
        <v>31</v>
      </c>
      <c r="F5" s="57"/>
      <c r="G5" s="58">
        <f>SUM(F4)</f>
        <v>58000</v>
      </c>
      <c r="H5" s="55"/>
      <c r="J5" s="19" t="s">
        <v>53</v>
      </c>
      <c r="K5" s="21" t="s">
        <v>58</v>
      </c>
    </row>
    <row r="6" spans="1:11" x14ac:dyDescent="0.3">
      <c r="A6" s="52" t="s">
        <v>4</v>
      </c>
      <c r="B6" s="53">
        <v>300000</v>
      </c>
      <c r="C6" s="54"/>
      <c r="D6" s="55"/>
      <c r="E6" s="59" t="s">
        <v>18</v>
      </c>
      <c r="F6" s="60"/>
      <c r="G6" s="60"/>
      <c r="H6" s="61"/>
      <c r="J6" s="22">
        <v>50000</v>
      </c>
      <c r="K6" s="21">
        <v>8000</v>
      </c>
    </row>
    <row r="7" spans="1:11" ht="15" thickBot="1" x14ac:dyDescent="0.35">
      <c r="A7" s="52" t="s">
        <v>26</v>
      </c>
      <c r="B7" s="53">
        <v>16000</v>
      </c>
      <c r="C7" s="54"/>
      <c r="D7" s="55"/>
      <c r="E7" s="52" t="s">
        <v>20</v>
      </c>
      <c r="F7" s="53">
        <v>5333000</v>
      </c>
      <c r="G7" s="62"/>
      <c r="H7" s="55"/>
      <c r="J7" s="23"/>
      <c r="K7" s="24"/>
    </row>
    <row r="8" spans="1:11" x14ac:dyDescent="0.3">
      <c r="A8" s="52" t="s">
        <v>27</v>
      </c>
      <c r="B8" s="53">
        <v>8000</v>
      </c>
      <c r="C8" s="54"/>
      <c r="D8" s="55"/>
      <c r="E8" s="52" t="s">
        <v>21</v>
      </c>
      <c r="F8" s="62">
        <v>0</v>
      </c>
      <c r="G8" s="62"/>
      <c r="H8" s="55"/>
      <c r="J8" s="25"/>
      <c r="K8" s="20"/>
    </row>
    <row r="9" spans="1:11" x14ac:dyDescent="0.3">
      <c r="A9" s="56" t="s">
        <v>15</v>
      </c>
      <c r="B9" s="58"/>
      <c r="C9" s="58">
        <f>SUM(B4:B8)</f>
        <v>478000</v>
      </c>
      <c r="D9" s="55"/>
      <c r="E9" s="52" t="s">
        <v>22</v>
      </c>
      <c r="F9" s="62">
        <v>0</v>
      </c>
      <c r="G9" s="54"/>
      <c r="H9" s="55"/>
      <c r="J9" s="37" t="s">
        <v>75</v>
      </c>
      <c r="K9" s="21">
        <f>SUM(J6,K6)</f>
        <v>58000</v>
      </c>
    </row>
    <row r="10" spans="1:11" x14ac:dyDescent="0.3">
      <c r="A10" s="46" t="s">
        <v>5</v>
      </c>
      <c r="B10" s="47"/>
      <c r="C10" s="47"/>
      <c r="D10" s="48"/>
      <c r="E10" s="56" t="s">
        <v>32</v>
      </c>
      <c r="F10" s="63"/>
      <c r="G10" s="58">
        <f>SUM(F7:F9)</f>
        <v>5333000</v>
      </c>
      <c r="H10" s="55"/>
      <c r="J10" s="25"/>
      <c r="K10" s="20"/>
    </row>
    <row r="11" spans="1:11" x14ac:dyDescent="0.3">
      <c r="A11" s="52" t="s">
        <v>6</v>
      </c>
      <c r="B11" s="53">
        <v>2500000</v>
      </c>
      <c r="C11" s="54"/>
      <c r="D11" s="55"/>
      <c r="E11" s="52"/>
      <c r="F11" s="54"/>
      <c r="G11" s="54"/>
      <c r="H11" s="55"/>
      <c r="J11" s="25"/>
      <c r="K11" s="20"/>
    </row>
    <row r="12" spans="1:11" x14ac:dyDescent="0.3">
      <c r="A12" s="52" t="s">
        <v>7</v>
      </c>
      <c r="B12" s="53">
        <v>1000000</v>
      </c>
      <c r="C12" s="54"/>
      <c r="D12" s="55"/>
      <c r="E12" s="52"/>
      <c r="F12" s="54"/>
      <c r="G12" s="54"/>
      <c r="H12" s="55"/>
      <c r="J12" s="25"/>
      <c r="K12" s="20"/>
    </row>
    <row r="13" spans="1:11" x14ac:dyDescent="0.3">
      <c r="A13" s="52" t="s">
        <v>8</v>
      </c>
      <c r="B13" s="53">
        <v>145000</v>
      </c>
      <c r="C13" s="54"/>
      <c r="D13" s="55"/>
      <c r="E13" s="52"/>
      <c r="F13" s="54"/>
      <c r="G13" s="54"/>
      <c r="H13" s="55"/>
      <c r="J13" s="25"/>
      <c r="K13" s="20"/>
    </row>
    <row r="14" spans="1:11" x14ac:dyDescent="0.3">
      <c r="A14" s="52" t="s">
        <v>9</v>
      </c>
      <c r="B14" s="53">
        <v>60000</v>
      </c>
      <c r="C14" s="54"/>
      <c r="D14" s="55"/>
      <c r="E14" s="52"/>
      <c r="F14" s="54"/>
      <c r="G14" s="54"/>
      <c r="H14" s="55"/>
      <c r="J14" s="25"/>
      <c r="K14" s="20"/>
    </row>
    <row r="15" spans="1:11" x14ac:dyDescent="0.3">
      <c r="A15" s="52" t="s">
        <v>10</v>
      </c>
      <c r="B15" s="53">
        <v>1000000</v>
      </c>
      <c r="C15" s="54"/>
      <c r="D15" s="55"/>
      <c r="E15" s="52"/>
      <c r="F15" s="54"/>
      <c r="G15" s="54"/>
      <c r="H15" s="55"/>
      <c r="J15" s="25"/>
      <c r="K15" s="20"/>
    </row>
    <row r="16" spans="1:11" x14ac:dyDescent="0.3">
      <c r="A16" s="52" t="s">
        <v>11</v>
      </c>
      <c r="B16" s="62">
        <v>0</v>
      </c>
      <c r="C16" s="54"/>
      <c r="D16" s="55"/>
      <c r="E16" s="52"/>
      <c r="F16" s="54"/>
      <c r="G16" s="54"/>
      <c r="H16" s="55"/>
      <c r="J16" s="25"/>
      <c r="K16" s="20"/>
    </row>
    <row r="17" spans="1:11" x14ac:dyDescent="0.3">
      <c r="A17" s="52" t="s">
        <v>12</v>
      </c>
      <c r="B17" s="53">
        <v>150000</v>
      </c>
      <c r="C17" s="54"/>
      <c r="D17" s="55"/>
      <c r="E17" s="52"/>
      <c r="F17" s="54"/>
      <c r="G17" s="54"/>
      <c r="H17" s="55"/>
      <c r="J17" s="25"/>
      <c r="K17" s="20"/>
    </row>
    <row r="18" spans="1:11" x14ac:dyDescent="0.3">
      <c r="A18" s="52" t="s">
        <v>13</v>
      </c>
      <c r="B18" s="53">
        <v>8000</v>
      </c>
      <c r="C18" s="54"/>
      <c r="D18" s="55"/>
      <c r="E18" s="52"/>
      <c r="F18" s="54"/>
      <c r="G18" s="54"/>
      <c r="H18" s="55"/>
      <c r="J18" s="25"/>
      <c r="K18" s="20"/>
    </row>
    <row r="19" spans="1:11" x14ac:dyDescent="0.3">
      <c r="A19" s="52" t="s">
        <v>14</v>
      </c>
      <c r="B19" s="53">
        <v>50000</v>
      </c>
      <c r="C19" s="54"/>
      <c r="D19" s="55"/>
      <c r="E19" s="52"/>
      <c r="F19" s="54"/>
      <c r="G19" s="54"/>
      <c r="H19" s="55"/>
      <c r="J19" s="25"/>
      <c r="K19" s="20"/>
    </row>
    <row r="20" spans="1:11" x14ac:dyDescent="0.3">
      <c r="A20" s="56" t="s">
        <v>16</v>
      </c>
      <c r="B20" s="58"/>
      <c r="C20" s="58">
        <f>SUM(B11:B19)</f>
        <v>4913000</v>
      </c>
      <c r="D20" s="55"/>
      <c r="E20" s="52"/>
      <c r="F20" s="54"/>
      <c r="G20" s="54"/>
      <c r="H20" s="55"/>
      <c r="J20" s="25"/>
      <c r="K20" s="20"/>
    </row>
    <row r="21" spans="1:11" x14ac:dyDescent="0.3">
      <c r="A21" s="52"/>
      <c r="B21" s="53"/>
      <c r="C21" s="54"/>
      <c r="D21" s="55"/>
      <c r="E21" s="52"/>
      <c r="F21" s="54"/>
      <c r="G21" s="54"/>
      <c r="H21" s="55"/>
      <c r="J21" s="25"/>
      <c r="K21" s="20"/>
    </row>
    <row r="22" spans="1:11" ht="15" thickBot="1" x14ac:dyDescent="0.35">
      <c r="A22" s="64" t="s">
        <v>17</v>
      </c>
      <c r="B22" s="65"/>
      <c r="C22" s="66"/>
      <c r="D22" s="67">
        <f>SUM(C9:C20)</f>
        <v>5391000</v>
      </c>
      <c r="E22" s="68" t="s">
        <v>30</v>
      </c>
      <c r="F22" s="69"/>
      <c r="G22" s="70"/>
      <c r="H22" s="71">
        <f>SUM(G5,G10)</f>
        <v>5391000</v>
      </c>
      <c r="J22" s="26" t="s">
        <v>56</v>
      </c>
      <c r="K22" s="27">
        <f>SUM(J6,K6)</f>
        <v>58000</v>
      </c>
    </row>
  </sheetData>
  <mergeCells count="10">
    <mergeCell ref="A22:C22"/>
    <mergeCell ref="E22:G22"/>
    <mergeCell ref="J1:K1"/>
    <mergeCell ref="A1:H1"/>
    <mergeCell ref="A2:D2"/>
    <mergeCell ref="E2:H2"/>
    <mergeCell ref="A3:D3"/>
    <mergeCell ref="E3:H3"/>
    <mergeCell ref="A10:D10"/>
    <mergeCell ref="E6:H6"/>
  </mergeCells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DD7A-7833-4B07-B98E-558673574362}">
  <dimension ref="A1:K22"/>
  <sheetViews>
    <sheetView workbookViewId="0">
      <selection activeCell="H30" sqref="H30"/>
    </sheetView>
  </sheetViews>
  <sheetFormatPr baseColWidth="10" defaultRowHeight="14.4" x14ac:dyDescent="0.3"/>
  <cols>
    <col min="1" max="1" width="21" customWidth="1"/>
    <col min="2" max="2" width="9.6640625" customWidth="1"/>
    <col min="3" max="4" width="9.77734375" customWidth="1"/>
    <col min="5" max="5" width="10.77734375" customWidth="1"/>
    <col min="6" max="6" width="9.77734375" customWidth="1"/>
    <col min="7" max="8" width="9.6640625" customWidth="1"/>
    <col min="10" max="10" width="22.44140625" customWidth="1"/>
    <col min="11" max="11" width="19.44140625" customWidth="1"/>
  </cols>
  <sheetData>
    <row r="1" spans="1:11" ht="15" thickBot="1" x14ac:dyDescent="0.35">
      <c r="A1" s="4" t="s">
        <v>24</v>
      </c>
      <c r="B1" s="2"/>
      <c r="C1" s="2"/>
      <c r="D1" s="2"/>
      <c r="E1" s="2"/>
      <c r="F1" s="2"/>
      <c r="G1" s="2"/>
      <c r="H1" s="3"/>
      <c r="J1" s="28" t="s">
        <v>60</v>
      </c>
      <c r="K1" s="29"/>
    </row>
    <row r="2" spans="1:11" x14ac:dyDescent="0.3">
      <c r="A2" s="72" t="s">
        <v>0</v>
      </c>
      <c r="B2" s="73"/>
      <c r="C2" s="73"/>
      <c r="D2" s="74"/>
      <c r="E2" s="72" t="s">
        <v>25</v>
      </c>
      <c r="F2" s="73"/>
      <c r="G2" s="73"/>
      <c r="H2" s="74"/>
      <c r="J2" s="17"/>
      <c r="K2" s="18"/>
    </row>
    <row r="3" spans="1:11" x14ac:dyDescent="0.3">
      <c r="A3" s="46" t="s">
        <v>1</v>
      </c>
      <c r="B3" s="47"/>
      <c r="C3" s="47"/>
      <c r="D3" s="48"/>
      <c r="E3" s="49" t="s">
        <v>28</v>
      </c>
      <c r="F3" s="50"/>
      <c r="G3" s="50"/>
      <c r="H3" s="51"/>
      <c r="J3" s="19" t="s">
        <v>61</v>
      </c>
      <c r="K3" s="20" t="s">
        <v>54</v>
      </c>
    </row>
    <row r="4" spans="1:11" x14ac:dyDescent="0.3">
      <c r="A4" s="52" t="s">
        <v>2</v>
      </c>
      <c r="B4" s="53">
        <v>70000</v>
      </c>
      <c r="C4" s="54"/>
      <c r="D4" s="55"/>
      <c r="E4" s="52" t="s">
        <v>29</v>
      </c>
      <c r="F4" s="53">
        <v>58000</v>
      </c>
      <c r="G4" s="53"/>
      <c r="H4" s="55"/>
      <c r="J4" s="19"/>
      <c r="K4" s="20"/>
    </row>
    <row r="5" spans="1:11" x14ac:dyDescent="0.3">
      <c r="A5" s="52" t="s">
        <v>3</v>
      </c>
      <c r="B5" s="53">
        <v>26000</v>
      </c>
      <c r="C5" s="54"/>
      <c r="D5" s="55"/>
      <c r="E5" s="52" t="s">
        <v>33</v>
      </c>
      <c r="F5" s="53">
        <v>1102000</v>
      </c>
      <c r="G5" s="53"/>
      <c r="H5" s="55"/>
      <c r="J5" s="19" t="s">
        <v>53</v>
      </c>
      <c r="K5" s="21" t="s">
        <v>62</v>
      </c>
    </row>
    <row r="6" spans="1:11" x14ac:dyDescent="0.3">
      <c r="A6" s="52" t="s">
        <v>4</v>
      </c>
      <c r="B6" s="53">
        <v>300000</v>
      </c>
      <c r="C6" s="54"/>
      <c r="D6" s="55"/>
      <c r="E6" s="56" t="s">
        <v>31</v>
      </c>
      <c r="F6" s="57"/>
      <c r="G6" s="58">
        <f>SUM(F4:F5)</f>
        <v>1160000</v>
      </c>
      <c r="H6" s="55"/>
      <c r="J6" s="22">
        <v>1000000</v>
      </c>
      <c r="K6" s="21">
        <v>160000</v>
      </c>
    </row>
    <row r="7" spans="1:11" ht="15" thickBot="1" x14ac:dyDescent="0.35">
      <c r="A7" s="52" t="s">
        <v>26</v>
      </c>
      <c r="B7" s="53">
        <v>24000</v>
      </c>
      <c r="C7" s="54"/>
      <c r="D7" s="55"/>
      <c r="E7" s="59" t="s">
        <v>18</v>
      </c>
      <c r="F7" s="60"/>
      <c r="G7" s="60"/>
      <c r="H7" s="61"/>
      <c r="J7" s="23"/>
      <c r="K7" s="24"/>
    </row>
    <row r="8" spans="1:11" x14ac:dyDescent="0.3">
      <c r="A8" s="52" t="s">
        <v>27</v>
      </c>
      <c r="B8" s="53">
        <v>160000</v>
      </c>
      <c r="C8" s="54"/>
      <c r="D8" s="55"/>
      <c r="E8" s="52" t="s">
        <v>20</v>
      </c>
      <c r="F8" s="53">
        <v>5333000</v>
      </c>
      <c r="G8" s="62"/>
      <c r="H8" s="55"/>
      <c r="J8" s="25"/>
      <c r="K8" s="20"/>
    </row>
    <row r="9" spans="1:11" x14ac:dyDescent="0.3">
      <c r="A9" s="56" t="s">
        <v>15</v>
      </c>
      <c r="B9" s="58"/>
      <c r="C9" s="58">
        <f>SUM(B4:B8)</f>
        <v>580000</v>
      </c>
      <c r="D9" s="55"/>
      <c r="E9" s="52" t="s">
        <v>21</v>
      </c>
      <c r="F9" s="62">
        <v>0</v>
      </c>
      <c r="G9" s="62"/>
      <c r="H9" s="55"/>
      <c r="J9" s="37" t="s">
        <v>75</v>
      </c>
      <c r="K9" s="21">
        <f>SUM(J6,K6)</f>
        <v>1160000</v>
      </c>
    </row>
    <row r="10" spans="1:11" ht="15" thickBot="1" x14ac:dyDescent="0.35">
      <c r="A10" s="46" t="s">
        <v>5</v>
      </c>
      <c r="B10" s="47"/>
      <c r="C10" s="47"/>
      <c r="D10" s="48"/>
      <c r="E10" s="52" t="s">
        <v>22</v>
      </c>
      <c r="F10" s="62">
        <v>0</v>
      </c>
      <c r="G10" s="54"/>
      <c r="H10" s="55"/>
      <c r="J10" s="25"/>
      <c r="K10" s="20"/>
    </row>
    <row r="11" spans="1:11" x14ac:dyDescent="0.3">
      <c r="A11" s="52" t="s">
        <v>6</v>
      </c>
      <c r="B11" s="53">
        <v>2500000</v>
      </c>
      <c r="C11" s="54"/>
      <c r="D11" s="55"/>
      <c r="E11" s="56" t="s">
        <v>32</v>
      </c>
      <c r="F11" s="63"/>
      <c r="G11" s="58">
        <f>SUM(F8:F10)</f>
        <v>5333000</v>
      </c>
      <c r="H11" s="55"/>
      <c r="J11" s="17" t="s">
        <v>63</v>
      </c>
      <c r="K11" s="17" t="s">
        <v>66</v>
      </c>
    </row>
    <row r="12" spans="1:11" x14ac:dyDescent="0.3">
      <c r="A12" s="52" t="s">
        <v>7</v>
      </c>
      <c r="B12" s="53">
        <v>1000000</v>
      </c>
      <c r="C12" s="54"/>
      <c r="D12" s="55"/>
      <c r="E12" s="52"/>
      <c r="F12" s="54"/>
      <c r="G12" s="54"/>
      <c r="H12" s="55"/>
      <c r="J12" s="31" t="s">
        <v>64</v>
      </c>
      <c r="K12" s="31" t="s">
        <v>67</v>
      </c>
    </row>
    <row r="13" spans="1:11" x14ac:dyDescent="0.3">
      <c r="A13" s="52" t="s">
        <v>8</v>
      </c>
      <c r="B13" s="53">
        <v>145000</v>
      </c>
      <c r="C13" s="54"/>
      <c r="D13" s="55"/>
      <c r="E13" s="52"/>
      <c r="F13" s="54"/>
      <c r="G13" s="54"/>
      <c r="H13" s="55"/>
      <c r="J13" s="19" t="s">
        <v>58</v>
      </c>
      <c r="K13" s="19" t="s">
        <v>68</v>
      </c>
    </row>
    <row r="14" spans="1:11" x14ac:dyDescent="0.3">
      <c r="A14" s="52" t="s">
        <v>9</v>
      </c>
      <c r="B14" s="53">
        <v>60000</v>
      </c>
      <c r="C14" s="54"/>
      <c r="D14" s="55"/>
      <c r="E14" s="52"/>
      <c r="F14" s="54"/>
      <c r="G14" s="54"/>
      <c r="H14" s="55"/>
      <c r="J14" s="19" t="s">
        <v>65</v>
      </c>
      <c r="K14" s="19" t="s">
        <v>69</v>
      </c>
    </row>
    <row r="15" spans="1:11" x14ac:dyDescent="0.3">
      <c r="A15" s="52" t="s">
        <v>10</v>
      </c>
      <c r="B15" s="53">
        <v>2000000</v>
      </c>
      <c r="C15" s="54"/>
      <c r="D15" s="55"/>
      <c r="E15" s="52"/>
      <c r="F15" s="54"/>
      <c r="G15" s="54"/>
      <c r="H15" s="55"/>
      <c r="J15" s="34" t="s">
        <v>70</v>
      </c>
      <c r="K15" s="33">
        <v>950000</v>
      </c>
    </row>
    <row r="16" spans="1:11" x14ac:dyDescent="0.3">
      <c r="A16" s="52" t="s">
        <v>11</v>
      </c>
      <c r="B16" s="62">
        <v>0</v>
      </c>
      <c r="C16" s="54"/>
      <c r="D16" s="55"/>
      <c r="E16" s="52"/>
      <c r="F16" s="54"/>
      <c r="G16" s="54"/>
      <c r="H16" s="55"/>
      <c r="J16" s="34">
        <v>58000</v>
      </c>
      <c r="K16" s="35" t="s">
        <v>71</v>
      </c>
    </row>
    <row r="17" spans="1:11" x14ac:dyDescent="0.3">
      <c r="A17" s="52" t="s">
        <v>12</v>
      </c>
      <c r="B17" s="53">
        <v>150000</v>
      </c>
      <c r="C17" s="54"/>
      <c r="D17" s="55"/>
      <c r="E17" s="52"/>
      <c r="F17" s="54"/>
      <c r="G17" s="54"/>
      <c r="H17" s="55"/>
      <c r="J17" s="19"/>
      <c r="K17" s="36">
        <v>1102000</v>
      </c>
    </row>
    <row r="18" spans="1:11" x14ac:dyDescent="0.3">
      <c r="A18" s="52" t="s">
        <v>13</v>
      </c>
      <c r="B18" s="53">
        <v>8000</v>
      </c>
      <c r="C18" s="54"/>
      <c r="D18" s="55"/>
      <c r="E18" s="52"/>
      <c r="F18" s="54"/>
      <c r="G18" s="54"/>
      <c r="H18" s="55"/>
      <c r="J18" s="19"/>
      <c r="K18" s="19"/>
    </row>
    <row r="19" spans="1:11" x14ac:dyDescent="0.3">
      <c r="A19" s="52" t="s">
        <v>14</v>
      </c>
      <c r="B19" s="53">
        <v>50000</v>
      </c>
      <c r="C19" s="54"/>
      <c r="D19" s="55"/>
      <c r="E19" s="52"/>
      <c r="F19" s="54"/>
      <c r="G19" s="54"/>
      <c r="H19" s="55"/>
      <c r="J19" s="19"/>
      <c r="K19" s="19"/>
    </row>
    <row r="20" spans="1:11" x14ac:dyDescent="0.3">
      <c r="A20" s="56" t="s">
        <v>16</v>
      </c>
      <c r="B20" s="58"/>
      <c r="C20" s="58">
        <f>SUM(B11:B19)</f>
        <v>5913000</v>
      </c>
      <c r="D20" s="55"/>
      <c r="E20" s="52"/>
      <c r="F20" s="54"/>
      <c r="G20" s="54"/>
      <c r="H20" s="55"/>
      <c r="J20" s="19"/>
      <c r="K20" s="19"/>
    </row>
    <row r="21" spans="1:11" ht="15" thickBot="1" x14ac:dyDescent="0.35">
      <c r="A21" s="52"/>
      <c r="B21" s="53"/>
      <c r="C21" s="54"/>
      <c r="D21" s="55"/>
      <c r="E21" s="52"/>
      <c r="F21" s="54"/>
      <c r="G21" s="54"/>
      <c r="H21" s="55"/>
      <c r="J21" s="23"/>
      <c r="K21" s="23"/>
    </row>
    <row r="22" spans="1:11" ht="15" thickBot="1" x14ac:dyDescent="0.35">
      <c r="A22" s="64" t="s">
        <v>17</v>
      </c>
      <c r="B22" s="65"/>
      <c r="C22" s="66"/>
      <c r="D22" s="67">
        <f>SUM(C9:C20)</f>
        <v>6493000</v>
      </c>
      <c r="E22" s="68" t="s">
        <v>30</v>
      </c>
      <c r="F22" s="69"/>
      <c r="G22" s="70"/>
      <c r="H22" s="71">
        <f>SUM(G6,G11)</f>
        <v>6493000</v>
      </c>
      <c r="J22" s="30" t="s">
        <v>56</v>
      </c>
      <c r="K22" s="32">
        <f>SUM(J6,K6)</f>
        <v>1160000</v>
      </c>
    </row>
  </sheetData>
  <mergeCells count="10">
    <mergeCell ref="A10:D10"/>
    <mergeCell ref="A22:C22"/>
    <mergeCell ref="E22:G22"/>
    <mergeCell ref="J1:K1"/>
    <mergeCell ref="A1:H1"/>
    <mergeCell ref="A2:D2"/>
    <mergeCell ref="E2:H2"/>
    <mergeCell ref="A3:D3"/>
    <mergeCell ref="E3:H3"/>
    <mergeCell ref="E7:H7"/>
  </mergeCells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4F73-A0EE-4E8B-8DAB-3B3EE5ACBA25}">
  <dimension ref="A1:K22"/>
  <sheetViews>
    <sheetView workbookViewId="0">
      <selection activeCell="E9" sqref="E9:H9"/>
    </sheetView>
  </sheetViews>
  <sheetFormatPr baseColWidth="10" defaultRowHeight="14.4" x14ac:dyDescent="0.3"/>
  <cols>
    <col min="1" max="1" width="20.77734375" customWidth="1"/>
    <col min="2" max="3" width="9.6640625" customWidth="1"/>
    <col min="4" max="4" width="9.77734375" customWidth="1"/>
    <col min="5" max="5" width="12.5546875" customWidth="1"/>
    <col min="6" max="8" width="9.77734375" customWidth="1"/>
    <col min="10" max="10" width="22.44140625" customWidth="1"/>
    <col min="11" max="11" width="19.44140625" customWidth="1"/>
  </cols>
  <sheetData>
    <row r="1" spans="1:11" ht="15" thickBot="1" x14ac:dyDescent="0.35">
      <c r="A1" s="4" t="s">
        <v>24</v>
      </c>
      <c r="B1" s="2"/>
      <c r="C1" s="2"/>
      <c r="D1" s="2"/>
      <c r="E1" s="2"/>
      <c r="F1" s="2"/>
      <c r="G1" s="2"/>
      <c r="H1" s="3"/>
      <c r="J1" s="28" t="s">
        <v>72</v>
      </c>
      <c r="K1" s="29"/>
    </row>
    <row r="2" spans="1:11" x14ac:dyDescent="0.3">
      <c r="A2" s="72" t="s">
        <v>0</v>
      </c>
      <c r="B2" s="73"/>
      <c r="C2" s="73"/>
      <c r="D2" s="74"/>
      <c r="E2" s="72" t="s">
        <v>25</v>
      </c>
      <c r="F2" s="73"/>
      <c r="G2" s="73"/>
      <c r="H2" s="74"/>
      <c r="J2" s="17"/>
      <c r="K2" s="18"/>
    </row>
    <row r="3" spans="1:11" x14ac:dyDescent="0.3">
      <c r="A3" s="46" t="s">
        <v>1</v>
      </c>
      <c r="B3" s="47"/>
      <c r="C3" s="47"/>
      <c r="D3" s="48"/>
      <c r="E3" s="49" t="s">
        <v>28</v>
      </c>
      <c r="F3" s="50"/>
      <c r="G3" s="50"/>
      <c r="H3" s="51"/>
      <c r="J3" s="19" t="s">
        <v>73</v>
      </c>
      <c r="K3" s="20" t="s">
        <v>54</v>
      </c>
    </row>
    <row r="4" spans="1:11" x14ac:dyDescent="0.3">
      <c r="A4" s="52" t="s">
        <v>2</v>
      </c>
      <c r="B4" s="53">
        <v>70000</v>
      </c>
      <c r="C4" s="54"/>
      <c r="D4" s="55"/>
      <c r="E4" s="52" t="s">
        <v>29</v>
      </c>
      <c r="F4" s="53">
        <v>58000</v>
      </c>
      <c r="G4" s="53"/>
      <c r="H4" s="55"/>
      <c r="J4" s="19"/>
      <c r="K4" s="20"/>
    </row>
    <row r="5" spans="1:11" x14ac:dyDescent="0.3">
      <c r="A5" s="52" t="s">
        <v>3</v>
      </c>
      <c r="B5" s="53">
        <v>1418000</v>
      </c>
      <c r="C5" s="54"/>
      <c r="D5" s="55"/>
      <c r="E5" s="52" t="s">
        <v>33</v>
      </c>
      <c r="F5" s="53">
        <v>1102000</v>
      </c>
      <c r="G5" s="53"/>
      <c r="H5" s="55"/>
      <c r="J5" s="19" t="s">
        <v>53</v>
      </c>
      <c r="K5" s="21" t="s">
        <v>74</v>
      </c>
    </row>
    <row r="6" spans="1:11" x14ac:dyDescent="0.3">
      <c r="A6" s="52" t="s">
        <v>4</v>
      </c>
      <c r="B6" s="53">
        <v>300000</v>
      </c>
      <c r="C6" s="54"/>
      <c r="D6" s="55"/>
      <c r="E6" s="52" t="s">
        <v>35</v>
      </c>
      <c r="F6" s="53">
        <v>1200000</v>
      </c>
      <c r="G6" s="53"/>
      <c r="H6" s="55"/>
      <c r="J6" s="22">
        <v>1500000</v>
      </c>
      <c r="K6" s="21">
        <v>240000</v>
      </c>
    </row>
    <row r="7" spans="1:11" ht="15" thickBot="1" x14ac:dyDescent="0.35">
      <c r="A7" s="52" t="s">
        <v>26</v>
      </c>
      <c r="B7" s="53">
        <v>24000</v>
      </c>
      <c r="C7" s="54"/>
      <c r="D7" s="55"/>
      <c r="E7" s="52" t="s">
        <v>34</v>
      </c>
      <c r="F7" s="53">
        <v>192000</v>
      </c>
      <c r="G7" s="53"/>
      <c r="H7" s="55"/>
      <c r="J7" s="23"/>
      <c r="K7" s="24"/>
    </row>
    <row r="8" spans="1:11" x14ac:dyDescent="0.3">
      <c r="A8" s="52" t="s">
        <v>27</v>
      </c>
      <c r="B8" s="53">
        <v>160000</v>
      </c>
      <c r="C8" s="54"/>
      <c r="D8" s="55"/>
      <c r="E8" s="56" t="s">
        <v>31</v>
      </c>
      <c r="F8" s="57"/>
      <c r="G8" s="58">
        <f>SUM(F4:F7)</f>
        <v>2552000</v>
      </c>
      <c r="H8" s="55"/>
      <c r="J8" s="25"/>
      <c r="K8" s="20"/>
    </row>
    <row r="9" spans="1:11" x14ac:dyDescent="0.3">
      <c r="A9" s="56" t="s">
        <v>15</v>
      </c>
      <c r="B9" s="58"/>
      <c r="C9" s="58">
        <f>SUM(B4:B8)</f>
        <v>1972000</v>
      </c>
      <c r="D9" s="55"/>
      <c r="E9" s="59" t="s">
        <v>18</v>
      </c>
      <c r="F9" s="60"/>
      <c r="G9" s="60"/>
      <c r="H9" s="61"/>
      <c r="J9" s="37" t="s">
        <v>75</v>
      </c>
      <c r="K9" s="21">
        <f>SUM(J6,K6)</f>
        <v>1740000</v>
      </c>
    </row>
    <row r="10" spans="1:11" ht="15" thickBot="1" x14ac:dyDescent="0.35">
      <c r="A10" s="46" t="s">
        <v>5</v>
      </c>
      <c r="B10" s="47"/>
      <c r="C10" s="47"/>
      <c r="D10" s="48"/>
      <c r="E10" s="52" t="s">
        <v>20</v>
      </c>
      <c r="F10" s="53">
        <v>5333000</v>
      </c>
      <c r="G10" s="62"/>
      <c r="H10" s="55"/>
      <c r="J10" s="25"/>
      <c r="K10" s="20"/>
    </row>
    <row r="11" spans="1:11" x14ac:dyDescent="0.3">
      <c r="A11" s="52" t="s">
        <v>6</v>
      </c>
      <c r="B11" s="53">
        <v>2500000</v>
      </c>
      <c r="C11" s="54"/>
      <c r="D11" s="55"/>
      <c r="E11" s="52" t="s">
        <v>21</v>
      </c>
      <c r="F11" s="62">
        <v>0</v>
      </c>
      <c r="G11" s="62"/>
      <c r="H11" s="55"/>
      <c r="J11" s="39" t="s">
        <v>76</v>
      </c>
      <c r="K11" s="44" t="s">
        <v>78</v>
      </c>
    </row>
    <row r="12" spans="1:11" ht="15" thickBot="1" x14ac:dyDescent="0.35">
      <c r="A12" s="52" t="s">
        <v>7</v>
      </c>
      <c r="B12" s="53">
        <v>1000000</v>
      </c>
      <c r="C12" s="54"/>
      <c r="D12" s="55"/>
      <c r="E12" s="52" t="s">
        <v>22</v>
      </c>
      <c r="F12" s="62">
        <v>0</v>
      </c>
      <c r="G12" s="54"/>
      <c r="H12" s="55"/>
      <c r="J12" s="40" t="s">
        <v>77</v>
      </c>
      <c r="K12" s="45">
        <v>1392000</v>
      </c>
    </row>
    <row r="13" spans="1:11" x14ac:dyDescent="0.3">
      <c r="A13" s="52" t="s">
        <v>8</v>
      </c>
      <c r="B13" s="53">
        <v>145000</v>
      </c>
      <c r="C13" s="54"/>
      <c r="D13" s="55"/>
      <c r="E13" s="56" t="s">
        <v>32</v>
      </c>
      <c r="F13" s="63"/>
      <c r="G13" s="58">
        <f>SUM(F10:F12)</f>
        <v>5333000</v>
      </c>
      <c r="H13" s="55"/>
      <c r="J13" s="43"/>
      <c r="K13" s="18"/>
    </row>
    <row r="14" spans="1:11" x14ac:dyDescent="0.3">
      <c r="A14" s="52" t="s">
        <v>9</v>
      </c>
      <c r="B14" s="53">
        <v>60000</v>
      </c>
      <c r="C14" s="54"/>
      <c r="D14" s="55"/>
      <c r="E14" s="52"/>
      <c r="F14" s="54"/>
      <c r="G14" s="54"/>
      <c r="H14" s="55"/>
      <c r="J14" s="38" t="s">
        <v>79</v>
      </c>
      <c r="K14" s="20" t="s">
        <v>81</v>
      </c>
    </row>
    <row r="15" spans="1:11" x14ac:dyDescent="0.3">
      <c r="A15" s="52" t="s">
        <v>10</v>
      </c>
      <c r="B15" s="53">
        <v>2000000</v>
      </c>
      <c r="C15" s="54"/>
      <c r="D15" s="55"/>
      <c r="E15" s="52"/>
      <c r="F15" s="54"/>
      <c r="G15" s="54"/>
      <c r="H15" s="55"/>
      <c r="J15" s="38" t="s">
        <v>80</v>
      </c>
      <c r="K15" s="41" t="s">
        <v>82</v>
      </c>
    </row>
    <row r="16" spans="1:11" x14ac:dyDescent="0.3">
      <c r="A16" s="52" t="s">
        <v>11</v>
      </c>
      <c r="B16" s="62">
        <v>0</v>
      </c>
      <c r="C16" s="54"/>
      <c r="D16" s="55"/>
      <c r="E16" s="52"/>
      <c r="F16" s="54"/>
      <c r="G16" s="54"/>
      <c r="H16" s="55"/>
      <c r="J16" s="38">
        <v>1200</v>
      </c>
      <c r="K16" s="42">
        <v>192000</v>
      </c>
    </row>
    <row r="17" spans="1:11" x14ac:dyDescent="0.3">
      <c r="A17" s="52" t="s">
        <v>12</v>
      </c>
      <c r="B17" s="53">
        <v>150000</v>
      </c>
      <c r="C17" s="54"/>
      <c r="D17" s="55"/>
      <c r="E17" s="52"/>
      <c r="F17" s="54"/>
      <c r="G17" s="54"/>
      <c r="H17" s="55"/>
      <c r="J17" s="19"/>
      <c r="K17" s="42"/>
    </row>
    <row r="18" spans="1:11" x14ac:dyDescent="0.3">
      <c r="A18" s="52" t="s">
        <v>13</v>
      </c>
      <c r="B18" s="53">
        <v>8000</v>
      </c>
      <c r="C18" s="54"/>
      <c r="D18" s="55"/>
      <c r="E18" s="52"/>
      <c r="F18" s="54"/>
      <c r="G18" s="54"/>
      <c r="H18" s="55"/>
      <c r="J18" s="19"/>
      <c r="K18" s="20"/>
    </row>
    <row r="19" spans="1:11" x14ac:dyDescent="0.3">
      <c r="A19" s="52" t="s">
        <v>14</v>
      </c>
      <c r="B19" s="53">
        <v>50000</v>
      </c>
      <c r="C19" s="54"/>
      <c r="D19" s="55"/>
      <c r="E19" s="52"/>
      <c r="F19" s="54"/>
      <c r="G19" s="54"/>
      <c r="H19" s="55"/>
      <c r="J19" s="19"/>
      <c r="K19" s="20"/>
    </row>
    <row r="20" spans="1:11" x14ac:dyDescent="0.3">
      <c r="A20" s="56" t="s">
        <v>16</v>
      </c>
      <c r="B20" s="58"/>
      <c r="C20" s="58">
        <f>SUM(B11:B19)</f>
        <v>5913000</v>
      </c>
      <c r="D20" s="55"/>
      <c r="E20" s="52"/>
      <c r="F20" s="54"/>
      <c r="G20" s="54"/>
      <c r="H20" s="55"/>
      <c r="J20" s="19"/>
      <c r="K20" s="20"/>
    </row>
    <row r="21" spans="1:11" ht="15" thickBot="1" x14ac:dyDescent="0.35">
      <c r="A21" s="52"/>
      <c r="B21" s="53"/>
      <c r="C21" s="54"/>
      <c r="D21" s="55"/>
      <c r="E21" s="52"/>
      <c r="F21" s="54"/>
      <c r="G21" s="54"/>
      <c r="H21" s="55"/>
      <c r="J21" s="23"/>
      <c r="K21" s="24"/>
    </row>
    <row r="22" spans="1:11" ht="15" thickBot="1" x14ac:dyDescent="0.35">
      <c r="A22" s="64" t="s">
        <v>17</v>
      </c>
      <c r="B22" s="65"/>
      <c r="C22" s="66"/>
      <c r="D22" s="67">
        <f>SUM(C9:C20)</f>
        <v>7885000</v>
      </c>
      <c r="E22" s="68" t="s">
        <v>30</v>
      </c>
      <c r="F22" s="69"/>
      <c r="G22" s="70"/>
      <c r="H22" s="71">
        <f>SUM(G8,G13)</f>
        <v>7885000</v>
      </c>
      <c r="J22" s="30" t="s">
        <v>56</v>
      </c>
      <c r="K22" s="32">
        <f>SUM(J6,K6)</f>
        <v>1740000</v>
      </c>
    </row>
  </sheetData>
  <mergeCells count="10">
    <mergeCell ref="A10:D10"/>
    <mergeCell ref="A22:C22"/>
    <mergeCell ref="E22:G22"/>
    <mergeCell ref="J1:K1"/>
    <mergeCell ref="A1:H1"/>
    <mergeCell ref="A2:D2"/>
    <mergeCell ref="E2:H2"/>
    <mergeCell ref="A3:D3"/>
    <mergeCell ref="E3:H3"/>
    <mergeCell ref="E9:H9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Catálogo de Cuentas</vt:lpstr>
      <vt:lpstr>BGI</vt:lpstr>
      <vt:lpstr>BGCE</vt:lpstr>
      <vt:lpstr>BGCC</vt:lpstr>
      <vt:lpstr>BGEC</vt:lpstr>
      <vt:lpstr>BGAC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paratareas2512@hotmail.com</dc:creator>
  <cp:lastModifiedBy>paratareas2512@hotmail.com</cp:lastModifiedBy>
  <cp:lastPrinted>2026-02-07T21:19:04Z</cp:lastPrinted>
  <dcterms:created xsi:type="dcterms:W3CDTF">2026-02-06T23:37:58Z</dcterms:created>
  <dcterms:modified xsi:type="dcterms:W3CDTF">2026-02-07T21:19:22Z</dcterms:modified>
</cp:coreProperties>
</file>